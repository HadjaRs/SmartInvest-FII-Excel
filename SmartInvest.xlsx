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dja\Downloads\"/>
    </mc:Choice>
  </mc:AlternateContent>
  <xr:revisionPtr revIDLastSave="0" documentId="8_{B4984F92-72B9-484E-B0A7-1A76312A500A}" xr6:coauthVersionLast="47" xr6:coauthVersionMax="47" xr10:uidLastSave="{00000000-0000-0000-0000-000000000000}"/>
  <bookViews>
    <workbookView xWindow="-120" yWindow="-120" windowWidth="20730" windowHeight="11040" tabRatio="248" xr2:uid="{C8306B46-3DA7-4D02-BB88-97B6EDA7C112}"/>
  </bookViews>
  <sheets>
    <sheet name="Planilha1" sheetId="1" r:id="rId1"/>
    <sheet name="Planilha2" sheetId="2" r:id="rId2"/>
  </sheets>
  <definedNames>
    <definedName name="aporte">Planilha1!$C$22</definedName>
    <definedName name="patrimonio">Planilha1!$C$25</definedName>
    <definedName name="qtd_anos">Planilha1!$C$23</definedName>
    <definedName name="Rendimento_Carteira">Planilha1!$C$18</definedName>
    <definedName name="salario">Planilha1!$C$17</definedName>
    <definedName name="sug_invest">Planilha1!$C$19</definedName>
    <definedName name="taxa_mensal">Planilha1!$C$24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40" i="1"/>
  <c r="C41" i="1"/>
  <c r="C42" i="1"/>
  <c r="C43" i="1"/>
  <c r="C44" i="1"/>
  <c r="C39" i="1"/>
  <c r="H5" i="2"/>
  <c r="A18" i="2"/>
  <c r="A19" i="2"/>
  <c r="A20" i="2"/>
  <c r="A21" i="2"/>
  <c r="A22" i="2"/>
  <c r="A17" i="2"/>
  <c r="A12" i="2"/>
  <c r="A13" i="2"/>
  <c r="A14" i="2"/>
  <c r="A15" i="2"/>
  <c r="A16" i="2"/>
  <c r="A11" i="2"/>
  <c r="A6" i="2"/>
  <c r="A7" i="2"/>
  <c r="A8" i="2"/>
  <c r="A9" i="2"/>
  <c r="A10" i="2"/>
  <c r="A5" i="2"/>
  <c r="C25" i="1"/>
  <c r="C26" i="1" s="1"/>
  <c r="C19" i="1"/>
  <c r="C29" i="1"/>
  <c r="D29" i="1" s="1"/>
  <c r="C32" i="1"/>
  <c r="D32" i="1" s="1"/>
  <c r="C31" i="1"/>
  <c r="D31" i="1" s="1"/>
  <c r="C30" i="1"/>
  <c r="D30" i="1" s="1"/>
  <c r="D42" i="1" l="1"/>
  <c r="D43" i="1"/>
  <c r="D44" i="1"/>
  <c r="D40" i="1"/>
  <c r="D41" i="1"/>
  <c r="D39" i="1"/>
  <c r="D45" i="1" l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<sst xmlns="http://schemas.openxmlformats.org/spreadsheetml/2006/main" count="70" uniqueCount="34">
  <si>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</si>
  <si>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</si>
  <si>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</si>
  <si>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</si>
  <si>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</si>
  <si>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</si>
  <si>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</si>
  <si>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</si>
  <si>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</si>
  <si>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em12 anos?</t>
  </si>
  <si>
    <t>Cenários</t>
  </si>
  <si>
    <t>Configurações</t>
  </si>
  <si>
    <t>Rendimento Carteira</t>
  </si>
  <si>
    <t>Salário</t>
  </si>
  <si>
    <t>Sugestão de Investimento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</si>
  <si>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</si>
  <si>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</si>
  <si>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</si>
  <si>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</si>
  <si>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</si>
  <si>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</si>
  <si>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</si>
  <si>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</si>
  <si>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</si>
  <si>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FOF'S</t>
  </si>
  <si>
    <t>DESENVOLVIMENTO</t>
  </si>
  <si>
    <t>HOTELARIAS</t>
  </si>
  <si>
    <t>TOTAL</t>
  </si>
  <si>
    <t>PERFIL</t>
  </si>
  <si>
    <t>conservador</t>
  </si>
  <si>
    <t>%</t>
  </si>
  <si>
    <t>CHAVE</t>
  </si>
  <si>
    <t>moderado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</si>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</sst>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9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2"/>
      <color theme="0" tint="-4.9989318521683403E-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8" fontId="3" fillId="0" borderId="6" xfId="0" applyNumberFormat="1" applyFont="1" applyBorder="1" applyAlignment="1">
      <alignment horizontal="center"/>
    </xf>
    <xf numFmtId="8" fontId="3" fillId="0" borderId="9" xfId="0" applyNumberFormat="1" applyFont="1" applyBorder="1" applyAlignment="1">
      <alignment horizontal="center"/>
    </xf>
    <xf numFmtId="8" fontId="3" fillId="0" borderId="12" xfId="0" applyNumberFormat="1" applyFont="1" applyBorder="1" applyAlignment="1">
      <alignment horizontal="center"/>
    </xf>
    <xf numFmtId="0" fontId="0" fillId="6" borderId="0" xfId="0" applyFill="1"/>
    <xf numFmtId="8" fontId="7" fillId="6" borderId="7" xfId="0" applyNumberFormat="1" applyFont="1" applyFill="1" applyBorder="1" applyAlignment="1">
      <alignment horizontal="center"/>
    </xf>
    <xf numFmtId="8" fontId="7" fillId="6" borderId="10" xfId="0" applyNumberFormat="1" applyFont="1" applyFill="1" applyBorder="1" applyAlignment="1">
      <alignment horizontal="center"/>
    </xf>
    <xf numFmtId="8" fontId="7" fillId="6" borderId="13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8" fontId="7" fillId="0" borderId="15" xfId="0" applyNumberFormat="1" applyFont="1" applyBorder="1" applyAlignment="1">
      <alignment horizontal="center"/>
    </xf>
    <xf numFmtId="8" fontId="7" fillId="0" borderId="25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10" fontId="7" fillId="0" borderId="18" xfId="0" applyNumberFormat="1" applyFont="1" applyBorder="1" applyAlignment="1">
      <alignment horizontal="center"/>
    </xf>
    <xf numFmtId="10" fontId="7" fillId="0" borderId="19" xfId="0" applyNumberFormat="1" applyFont="1" applyBorder="1" applyAlignment="1">
      <alignment horizontal="center"/>
    </xf>
    <xf numFmtId="8" fontId="7" fillId="0" borderId="18" xfId="0" applyNumberFormat="1" applyFont="1" applyBorder="1" applyAlignment="1">
      <alignment horizontal="center"/>
    </xf>
    <xf numFmtId="8" fontId="7" fillId="0" borderId="19" xfId="0" applyNumberFormat="1" applyFont="1" applyBorder="1" applyAlignment="1">
      <alignment horizontal="center"/>
    </xf>
    <xf numFmtId="8" fontId="7" fillId="0" borderId="21" xfId="0" applyNumberFormat="1" applyFont="1" applyBorder="1" applyAlignment="1">
      <alignment horizontal="center"/>
    </xf>
    <xf numFmtId="8" fontId="7" fillId="0" borderId="22" xfId="0" applyNumberFormat="1" applyFont="1" applyBorder="1" applyAlignment="1">
      <alignment horizontal="center"/>
    </xf>
    <xf numFmtId="169" fontId="7" fillId="0" borderId="24" xfId="1" applyNumberFormat="1" applyFont="1" applyBorder="1" applyAlignment="1">
      <alignment horizontal="center"/>
    </xf>
    <xf numFmtId="169" fontId="7" fillId="0" borderId="16" xfId="1" applyNumberFormat="1" applyFont="1" applyBorder="1" applyAlignment="1">
      <alignment horizontal="center"/>
    </xf>
    <xf numFmtId="169" fontId="7" fillId="0" borderId="21" xfId="1" applyNumberFormat="1" applyFont="1" applyBorder="1" applyAlignment="1">
      <alignment horizontal="center"/>
    </xf>
    <xf numFmtId="169" fontId="7" fillId="0" borderId="22" xfId="1" applyNumberFormat="1" applyFont="1" applyBorder="1" applyAlignment="1">
      <alignment horizontal="center"/>
    </xf>
    <xf numFmtId="0" fontId="4" fillId="4" borderId="23" xfId="0" applyFont="1" applyFill="1" applyBorder="1" applyAlignment="1">
      <alignment horizontal="left" indent="1"/>
    </xf>
    <xf numFmtId="0" fontId="4" fillId="4" borderId="17" xfId="0" applyFont="1" applyFill="1" applyBorder="1" applyAlignment="1">
      <alignment horizontal="left" indent="1"/>
    </xf>
    <xf numFmtId="0" fontId="4" fillId="4" borderId="20" xfId="0" applyFont="1" applyFill="1" applyBorder="1" applyAlignment="1">
      <alignment horizontal="left" indent="1"/>
    </xf>
    <xf numFmtId="0" fontId="4" fillId="4" borderId="14" xfId="0" applyFont="1" applyFill="1" applyBorder="1" applyAlignment="1">
      <alignment horizontal="left" indent="1"/>
    </xf>
    <xf numFmtId="0" fontId="6" fillId="6" borderId="17" xfId="0" applyFont="1" applyFill="1" applyBorder="1" applyAlignment="1">
      <alignment horizontal="left" indent="1"/>
    </xf>
    <xf numFmtId="0" fontId="6" fillId="6" borderId="20" xfId="0" applyFont="1" applyFill="1" applyBorder="1" applyAlignment="1">
      <alignment horizontal="left" indent="1"/>
    </xf>
    <xf numFmtId="0" fontId="4" fillId="4" borderId="5" xfId="0" applyFont="1" applyFill="1" applyBorder="1" applyAlignment="1">
      <alignment horizontal="left" indent="1"/>
    </xf>
    <xf numFmtId="0" fontId="4" fillId="4" borderId="8" xfId="0" applyFont="1" applyFill="1" applyBorder="1" applyAlignment="1">
      <alignment horizontal="left" indent="1"/>
    </xf>
    <xf numFmtId="0" fontId="4" fillId="4" borderId="11" xfId="0" applyFont="1" applyFill="1" applyBorder="1" applyAlignment="1">
      <alignment horizontal="left" indent="1"/>
    </xf>
    <xf numFmtId="0" fontId="0" fillId="7" borderId="0" xfId="0" applyFill="1"/>
    <xf numFmtId="9" fontId="0" fillId="0" borderId="0" xfId="0" applyNumberFormat="1"/>
    <xf numFmtId="0" fontId="6" fillId="6" borderId="0" xfId="0" applyFont="1" applyFill="1" applyBorder="1" applyAlignment="1">
      <alignment horizontal="left" indent="1"/>
    </xf>
    <xf numFmtId="0" fontId="2" fillId="6" borderId="0" xfId="0" applyFont="1" applyFill="1"/>
    <xf numFmtId="9" fontId="0" fillId="0" borderId="0" xfId="0" applyNumberFormat="1" applyAlignment="1">
      <alignment horizontal="left"/>
    </xf>
    <xf numFmtId="169" fontId="0" fillId="0" borderId="0" xfId="1" applyNumberFormat="1" applyFont="1" applyAlignment="1">
      <alignment horizontal="left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169" fontId="0" fillId="0" borderId="0" xfId="0" applyNumberFormat="1"/>
    <xf numFmtId="0" fontId="2" fillId="6" borderId="0" xfId="0" applyFont="1" applyFill="1" applyAlignment="1">
      <alignment horizontal="right"/>
    </xf>
    <xf numFmtId="169" fontId="2" fillId="6" borderId="0" xfId="0" applyNumberFormat="1" applyFont="1" applyFill="1"/>
    <xf numFmtId="0" fontId="0" fillId="0" borderId="0" xfId="0" applyBorder="1"/>
    <xf numFmtId="0" fontId="0" fillId="7" borderId="0" xfId="0" applyFill="1" applyBorder="1"/>
    <xf numFmtId="0" fontId="0" fillId="0" borderId="4" xfId="0" applyBorder="1"/>
    <xf numFmtId="0" fontId="0" fillId="7" borderId="4" xfId="0" applyFill="1" applyBorder="1"/>
    <xf numFmtId="0" fontId="0" fillId="0" borderId="3" xfId="0" applyBorder="1"/>
    <xf numFmtId="0" fontId="0" fillId="7" borderId="3" xfId="0" applyFill="1" applyBorder="1"/>
    <xf numFmtId="9" fontId="0" fillId="0" borderId="3" xfId="0" applyNumberFormat="1" applyBorder="1"/>
    <xf numFmtId="9" fontId="0" fillId="0" borderId="0" xfId="0" applyNumberFormat="1" applyBorder="1"/>
    <xf numFmtId="9" fontId="0" fillId="0" borderId="4" xfId="0" applyNumberFormat="1" applyBorder="1"/>
    <xf numFmtId="9" fontId="0" fillId="0" borderId="0" xfId="0" applyNumberFormat="1" applyBorder="1" applyAlignment="1">
      <alignment horizontal="right"/>
    </xf>
    <xf numFmtId="9" fontId="0" fillId="0" borderId="4" xfId="0" applyNumberFormat="1" applyBorder="1" applyAlignment="1">
      <alignment horizontal="right"/>
    </xf>
    <xf numFmtId="9" fontId="0" fillId="6" borderId="0" xfId="2" applyFont="1" applyFill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Planilha1!$C$39:$C$44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D-4F6B-AC67-60BFEA45D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257174</xdr:colOff>
      <xdr:row>0</xdr:row>
      <xdr:rowOff>104775</xdr:rowOff>
    </xdr:from>
    <xdr:to>
      <xdr:col>4</xdr:col>
      <xdr:colOff>304798</xdr:colOff>
      <xdr:row>13</xdr:row>
      <xdr:rowOff>180975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61620D8-9934-3C2D-54DF-9F9BBAFE0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4" y="104775"/>
          <a:ext cx="8439149" cy="2552700"/>
        </a:xfrm>
        <a:prstGeom prst="roundRect">
          <a:avLst>
            <a:gd name="adj" fmla="val 16667"/>
          </a:avLst>
        </a:prstGeom>
        <a:ln w="38100">
          <a:solidFill>
            <a:schemeClr val="tx1"/>
          </a:solidFill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1</xdr:col>
      <xdr:colOff>47625</xdr:colOff>
      <xdr:row>46</xdr:row>
      <xdr:rowOff>23811</xdr:rowOff>
    </xdr:from>
    <xdr:to>
      <xdr:col>3</xdr:col>
      <xdr:colOff>600075</xdr:colOff>
      <xdr:row>61</xdr:row>
      <xdr:rowOff>180974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2420FA4-BD7F-6D01-BD4D-270EE9A94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B782-C01D-4258-9486-3D94CFDCA5A0}">
  <dimension ref="A1:G67"/>
  <sheetViews>
    <sheetView showGridLines="0" tabSelected="1" zoomScaleNormal="100" workbookViewId="0">
      <selection activeCell="E7" sqref="E7"/>
    </sheetView>
  </sheetViews>
  <sheetFormatPr defaultColWidth="0" defaultRowHeight="15" zeroHeight="1" x14ac:dyDescent="0.25"/>
  <cols>
    <col min="1" max="1" width="9.140625" customWidth="1"/>
    <col min="2" max="2" width="59.140625" customWidth="1"/>
    <col min="3" max="3" width="47.42578125" customWidth="1"/>
    <col min="4" max="4" width="10.140625" bestFit="1" customWidth="1"/>
    <col min="5" max="5" width="30.28515625" bestFit="1" customWidth="1"/>
    <col min="6" max="6" width="15.140625" customWidth="1"/>
    <col min="7" max="13" width="9.140625" customWidth="1"/>
    <col min="14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x14ac:dyDescent="0.25"/>
    <row r="12" spans="2:4" x14ac:dyDescent="0.25"/>
    <row r="13" spans="2:4" x14ac:dyDescent="0.25"/>
    <row r="14" spans="2:4" x14ac:dyDescent="0.25"/>
    <row r="15" spans="2:4" ht="15.75" thickBot="1" x14ac:dyDescent="0.3"/>
    <row r="16" spans="2:4" ht="38.25" customHeight="1" x14ac:dyDescent="0.25">
      <c r="B16" s="7" t="s">
        <v>11</v>
      </c>
      <c r="C16" s="16"/>
      <c r="D16" s="8"/>
    </row>
    <row r="17" spans="2:4" ht="18.75" x14ac:dyDescent="0.3">
      <c r="B17" s="32" t="s">
        <v>13</v>
      </c>
      <c r="C17" s="28">
        <v>3500</v>
      </c>
      <c r="D17" s="29"/>
    </row>
    <row r="18" spans="2:4" ht="18.75" x14ac:dyDescent="0.3">
      <c r="B18" s="33" t="s">
        <v>12</v>
      </c>
      <c r="C18" s="22">
        <v>1.2E-2</v>
      </c>
      <c r="D18" s="23"/>
    </row>
    <row r="19" spans="2:4" ht="19.5" thickBot="1" x14ac:dyDescent="0.35">
      <c r="B19" s="34" t="s">
        <v>14</v>
      </c>
      <c r="C19" s="30">
        <f>C17*20%</f>
        <v>700</v>
      </c>
      <c r="D19" s="31"/>
    </row>
    <row r="20" spans="2:4" ht="15.75" thickBot="1" x14ac:dyDescent="0.3"/>
    <row r="21" spans="2:4" ht="38.25" customHeight="1" thickBot="1" x14ac:dyDescent="0.3">
      <c r="B21" s="1" t="s">
        <v>5</v>
      </c>
      <c r="C21" s="17"/>
      <c r="D21" s="2"/>
    </row>
    <row r="22" spans="2:4" ht="21.75" customHeight="1" x14ac:dyDescent="0.3">
      <c r="B22" s="35" t="s">
        <v>0</v>
      </c>
      <c r="C22" s="18">
        <v>150</v>
      </c>
      <c r="D22" s="19"/>
    </row>
    <row r="23" spans="2:4" ht="21.75" customHeight="1" x14ac:dyDescent="0.3">
      <c r="B23" s="33" t="s">
        <v>1</v>
      </c>
      <c r="C23" s="20">
        <v>1</v>
      </c>
      <c r="D23" s="21"/>
    </row>
    <row r="24" spans="2:4" ht="21.75" customHeight="1" x14ac:dyDescent="0.3">
      <c r="B24" s="33" t="s">
        <v>2</v>
      </c>
      <c r="C24" s="22">
        <v>1.2E-2</v>
      </c>
      <c r="D24" s="23"/>
    </row>
    <row r="25" spans="2:4" ht="21.75" customHeight="1" x14ac:dyDescent="0.3">
      <c r="B25" s="36" t="s">
        <v>3</v>
      </c>
      <c r="C25" s="24">
        <f>FV(taxa_mensal,qtd_anos*12,aporte*-1)</f>
        <v>1923.6828022823227</v>
      </c>
      <c r="D25" s="25"/>
    </row>
    <row r="26" spans="2:4" ht="21.75" customHeight="1" thickBot="1" x14ac:dyDescent="0.35">
      <c r="B26" s="37" t="s">
        <v>4</v>
      </c>
      <c r="C26" s="26">
        <f>C25*C24</f>
        <v>23.084193627387872</v>
      </c>
      <c r="D26" s="27"/>
    </row>
    <row r="27" spans="2:4" ht="22.5" customHeight="1" thickBot="1" x14ac:dyDescent="0.3"/>
    <row r="28" spans="2:4" ht="38.25" customHeight="1" x14ac:dyDescent="0.25">
      <c r="B28" s="3" t="s">
        <v>10</v>
      </c>
      <c r="C28" s="6"/>
      <c r="D28" s="4"/>
    </row>
    <row r="29" spans="2:4" ht="22.5" customHeight="1" x14ac:dyDescent="0.3">
      <c r="B29" s="38" t="s">
        <v>6</v>
      </c>
      <c r="C29" s="9">
        <f>FV($C$24,2*12,$C$22*-1)</f>
        <v>4143.4100464683897</v>
      </c>
      <c r="D29" s="13">
        <f>C29*Rendimento_Carteira</f>
        <v>49.72092055762068</v>
      </c>
    </row>
    <row r="30" spans="2:4" ht="22.5" customHeight="1" x14ac:dyDescent="0.3">
      <c r="B30" s="39" t="s">
        <v>7</v>
      </c>
      <c r="C30" s="10">
        <f>FV($C$24,5*12,$C$22*-1)</f>
        <v>13070.590850811352</v>
      </c>
      <c r="D30" s="14">
        <f>C30*Rendimento_Carteira</f>
        <v>156.84709020973622</v>
      </c>
    </row>
    <row r="31" spans="2:4" ht="22.5" customHeight="1" x14ac:dyDescent="0.3">
      <c r="B31" s="39" t="s">
        <v>8</v>
      </c>
      <c r="C31" s="10">
        <f>FV($C$24,10*12,$C$22*-1)</f>
        <v>39808.409316767778</v>
      </c>
      <c r="D31" s="14">
        <f>C31*Rendimento_Carteira</f>
        <v>477.70091180121335</v>
      </c>
    </row>
    <row r="32" spans="2:4" ht="19.5" thickBot="1" x14ac:dyDescent="0.35">
      <c r="B32" s="40" t="s">
        <v>9</v>
      </c>
      <c r="C32" s="11">
        <f>FV($C$24,12*12,$C$22*-1)</f>
        <v>57147.224410997915</v>
      </c>
      <c r="D32" s="15">
        <f>C32*Rendimento_Carteira</f>
        <v>685.76669293197494</v>
      </c>
    </row>
    <row r="33" spans="2:4" x14ac:dyDescent="0.25"/>
    <row r="34" spans="2:4" x14ac:dyDescent="0.25"/>
    <row r="35" spans="2:4" ht="18.75" x14ac:dyDescent="0.3">
      <c r="B35" s="43" t="s">
        <v>15</v>
      </c>
      <c r="C35" s="44" t="s">
        <v>29</v>
      </c>
      <c r="D35" s="12"/>
    </row>
    <row r="36" spans="2:4" x14ac:dyDescent="0.25">
      <c r="B36" s="41" t="s">
        <v>17</v>
      </c>
      <c r="C36" s="46">
        <f>aporte</f>
        <v>150</v>
      </c>
    </row>
    <row r="37" spans="2:4" x14ac:dyDescent="0.25">
      <c r="B37" s="41"/>
    </row>
    <row r="38" spans="2:4" x14ac:dyDescent="0.25">
      <c r="B38" s="47" t="s">
        <v>18</v>
      </c>
      <c r="C38" s="48" t="s">
        <v>19</v>
      </c>
      <c r="D38" s="44" t="s">
        <v>20</v>
      </c>
    </row>
    <row r="39" spans="2:4" x14ac:dyDescent="0.25">
      <c r="B39" s="41" t="s">
        <v>21</v>
      </c>
      <c r="C39" s="45">
        <f>VLOOKUP($C$35&amp;"-"&amp;B39,Planilha2!$A$5:$D$22,4,0)</f>
        <v>0.3</v>
      </c>
      <c r="D39" s="49">
        <f>$C$36*C39</f>
        <v>45</v>
      </c>
    </row>
    <row r="40" spans="2:4" x14ac:dyDescent="0.25">
      <c r="B40" s="41" t="s">
        <v>22</v>
      </c>
      <c r="C40" s="45">
        <f>VLOOKUP($C$35&amp;"-"&amp;B40,Planilha2!$A$5:$D$22,4,0)</f>
        <v>0.5</v>
      </c>
      <c r="D40" s="49">
        <f t="shared" ref="D40:D44" si="0">$C$36*C40</f>
        <v>75</v>
      </c>
    </row>
    <row r="41" spans="2:4" x14ac:dyDescent="0.25">
      <c r="B41" s="41" t="s">
        <v>23</v>
      </c>
      <c r="C41" s="45">
        <f>VLOOKUP($C$35&amp;"-"&amp;B41,Planilha2!$A$5:$D$22,4,0)</f>
        <v>0.1</v>
      </c>
      <c r="D41" s="49">
        <f t="shared" si="0"/>
        <v>15</v>
      </c>
    </row>
    <row r="42" spans="2:4" x14ac:dyDescent="0.25">
      <c r="B42" s="41" t="s">
        <v>24</v>
      </c>
      <c r="C42" s="45">
        <f>VLOOKUP($C$35&amp;"-"&amp;B42,Planilha2!$A$5:$D$22,4,0)</f>
        <v>0.1</v>
      </c>
      <c r="D42" s="49">
        <f t="shared" si="0"/>
        <v>15</v>
      </c>
    </row>
    <row r="43" spans="2:4" x14ac:dyDescent="0.25">
      <c r="B43" s="41" t="s">
        <v>25</v>
      </c>
      <c r="C43" s="45">
        <f>VLOOKUP($C$35&amp;"-"&amp;B43,Planilha2!$A$5:$D$22,4,0)</f>
        <v>0</v>
      </c>
      <c r="D43" s="49">
        <f t="shared" si="0"/>
        <v>0</v>
      </c>
    </row>
    <row r="44" spans="2:4" x14ac:dyDescent="0.25">
      <c r="B44" s="41" t="s">
        <v>26</v>
      </c>
      <c r="C44" s="45">
        <f>VLOOKUP($C$35&amp;"-"&amp;B44,Planilha2!$A$5:$D$22,4,0)</f>
        <v>0</v>
      </c>
      <c r="D44" s="49">
        <f t="shared" si="0"/>
        <v>0</v>
      </c>
    </row>
    <row r="45" spans="2:4" x14ac:dyDescent="0.25">
      <c r="B45" s="50" t="s">
        <v>27</v>
      </c>
      <c r="C45" s="12"/>
      <c r="D45" s="51">
        <f>SUM(D39:D44)</f>
        <v>150</v>
      </c>
    </row>
    <row r="46" spans="2:4" x14ac:dyDescent="0.25">
      <c r="B46" s="41"/>
    </row>
    <row r="47" spans="2:4" x14ac:dyDescent="0.25">
      <c r="B47" s="41"/>
    </row>
    <row r="48" spans="2:4" x14ac:dyDescent="0.25">
      <c r="B48" s="41"/>
    </row>
    <row r="49" spans="2:2" x14ac:dyDescent="0.25">
      <c r="B49" s="41"/>
    </row>
    <row r="50" spans="2:2" x14ac:dyDescent="0.25">
      <c r="B50" s="41"/>
    </row>
    <row r="51" spans="2:2" x14ac:dyDescent="0.25">
      <c r="B51" s="41"/>
    </row>
    <row r="52" spans="2:2" x14ac:dyDescent="0.25">
      <c r="B52" s="41"/>
    </row>
    <row r="53" spans="2:2" x14ac:dyDescent="0.25">
      <c r="B53" s="41"/>
    </row>
    <row r="54" spans="2:2" x14ac:dyDescent="0.25">
      <c r="B54" s="41"/>
    </row>
    <row r="55" spans="2:2" x14ac:dyDescent="0.25">
      <c r="B55" s="41"/>
    </row>
    <row r="56" spans="2:2" x14ac:dyDescent="0.25">
      <c r="B56" s="41"/>
    </row>
    <row r="57" spans="2:2" x14ac:dyDescent="0.25">
      <c r="B57" s="41"/>
    </row>
    <row r="58" spans="2:2" x14ac:dyDescent="0.25">
      <c r="B58" s="41"/>
    </row>
    <row r="59" spans="2:2" x14ac:dyDescent="0.25">
      <c r="B59" s="41"/>
    </row>
    <row r="60" spans="2:2" x14ac:dyDescent="0.25">
      <c r="B60" s="41"/>
    </row>
    <row r="61" spans="2:2" x14ac:dyDescent="0.25">
      <c r="B61" s="41"/>
    </row>
    <row r="62" spans="2:2" x14ac:dyDescent="0.25">
      <c r="B62" s="41"/>
    </row>
    <row r="63" spans="2:2" x14ac:dyDescent="0.25"/>
    <row r="64" spans="2:2" ht="20.25" hidden="1" customHeight="1" x14ac:dyDescent="0.25"/>
    <row r="65" ht="20.25" hidden="1" customHeight="1" x14ac:dyDescent="0.25"/>
    <row r="66" ht="20.25" hidden="1" customHeight="1" x14ac:dyDescent="0.25"/>
    <row r="67" ht="20.25" hidden="1" customHeight="1" x14ac:dyDescent="0.25"/>
  </sheetData>
  <mergeCells count="11">
    <mergeCell ref="C17:D17"/>
    <mergeCell ref="C19:D19"/>
    <mergeCell ref="C18:D18"/>
    <mergeCell ref="B21:D21"/>
    <mergeCell ref="B16:D16"/>
    <mergeCell ref="C22:D22"/>
    <mergeCell ref="C23:D23"/>
    <mergeCell ref="C24:D24"/>
    <mergeCell ref="C25:D25"/>
    <mergeCell ref="C26:D26"/>
    <mergeCell ref="B28:D28"/>
  </mergeCells>
  <dataValidations count="1">
    <dataValidation type="list" allowBlank="1" showInputMessage="1" showErrorMessage="1" sqref="C35" xr:uid="{222B7DC6-6628-4693-9214-ADC1A57FF87E}">
      <formula1>"agressivo,moderado,conservador"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62EF-96C4-4528-B20E-ECC3539FB089}">
  <dimension ref="A4:H22"/>
  <sheetViews>
    <sheetView topLeftCell="A7" workbookViewId="0">
      <selection activeCell="D20" sqref="D20"/>
    </sheetView>
  </sheetViews>
  <sheetFormatPr defaultRowHeight="15" x14ac:dyDescent="0.25"/>
  <cols>
    <col min="1" max="1" width="30.7109375" bestFit="1" customWidth="1"/>
    <col min="2" max="2" width="12" bestFit="1" customWidth="1"/>
    <col min="3" max="3" width="18.5703125" bestFit="1" customWidth="1"/>
    <col min="6" max="6" width="9.42578125" customWidth="1"/>
    <col min="7" max="7" width="17" bestFit="1" customWidth="1"/>
  </cols>
  <sheetData>
    <row r="4" spans="1:8" x14ac:dyDescent="0.25">
      <c r="A4" t="s">
        <v>31</v>
      </c>
      <c r="B4" t="s">
        <v>28</v>
      </c>
      <c r="C4" s="47" t="s">
        <v>18</v>
      </c>
      <c r="D4" s="5" t="s">
        <v>30</v>
      </c>
      <c r="F4" s="52"/>
      <c r="G4" s="52"/>
      <c r="H4" t="s">
        <v>30</v>
      </c>
    </row>
    <row r="5" spans="1:8" x14ac:dyDescent="0.25">
      <c r="A5" s="52" t="str">
        <f>B5&amp;"-"&amp;C5</f>
        <v>conservador-PAPEL</v>
      </c>
      <c r="B5" s="52" t="s">
        <v>29</v>
      </c>
      <c r="C5" s="53" t="s">
        <v>21</v>
      </c>
      <c r="D5" s="61">
        <v>0.3</v>
      </c>
      <c r="F5" s="52"/>
      <c r="G5" s="12" t="s">
        <v>33</v>
      </c>
      <c r="H5" s="63">
        <f>VLOOKUP(G5,A5:D22,4,0)</f>
        <v>0.4</v>
      </c>
    </row>
    <row r="6" spans="1:8" x14ac:dyDescent="0.25">
      <c r="A6" s="52" t="str">
        <f t="shared" ref="A6:A22" si="0">B6&amp;"-"&amp;C6</f>
        <v>conservador-TIJOLO</v>
      </c>
      <c r="B6" s="52" t="s">
        <v>29</v>
      </c>
      <c r="C6" s="53" t="s">
        <v>22</v>
      </c>
      <c r="D6" s="61">
        <v>0.5</v>
      </c>
    </row>
    <row r="7" spans="1:8" x14ac:dyDescent="0.25">
      <c r="A7" s="52" t="str">
        <f t="shared" si="0"/>
        <v>conservador-HIBRIDOS</v>
      </c>
      <c r="B7" s="52" t="s">
        <v>29</v>
      </c>
      <c r="C7" s="53" t="s">
        <v>23</v>
      </c>
      <c r="D7" s="61">
        <v>0.1</v>
      </c>
    </row>
    <row r="8" spans="1:8" x14ac:dyDescent="0.25">
      <c r="A8" s="52" t="str">
        <f t="shared" si="0"/>
        <v>conservador-FOF'S</v>
      </c>
      <c r="B8" s="52" t="s">
        <v>29</v>
      </c>
      <c r="C8" s="53" t="s">
        <v>24</v>
      </c>
      <c r="D8" s="61">
        <v>0.1</v>
      </c>
    </row>
    <row r="9" spans="1:8" x14ac:dyDescent="0.25">
      <c r="A9" s="52" t="str">
        <f t="shared" si="0"/>
        <v>conservador-DESENVOLVIMENTO</v>
      </c>
      <c r="B9" s="52" t="s">
        <v>29</v>
      </c>
      <c r="C9" s="53" t="s">
        <v>25</v>
      </c>
      <c r="D9" s="61">
        <v>0</v>
      </c>
    </row>
    <row r="10" spans="1:8" ht="15.75" thickBot="1" x14ac:dyDescent="0.3">
      <c r="A10" s="54" t="str">
        <f t="shared" si="0"/>
        <v>conservador-HOTELARIAS</v>
      </c>
      <c r="B10" s="54" t="s">
        <v>29</v>
      </c>
      <c r="C10" s="55" t="s">
        <v>26</v>
      </c>
      <c r="D10" s="62">
        <v>0</v>
      </c>
    </row>
    <row r="11" spans="1:8" x14ac:dyDescent="0.25">
      <c r="A11" s="56" t="str">
        <f t="shared" si="0"/>
        <v>moderado-PAPEL</v>
      </c>
      <c r="B11" s="56" t="s">
        <v>32</v>
      </c>
      <c r="C11" s="57" t="s">
        <v>21</v>
      </c>
      <c r="D11" s="58">
        <v>0.32</v>
      </c>
    </row>
    <row r="12" spans="1:8" x14ac:dyDescent="0.25">
      <c r="A12" s="52" t="str">
        <f t="shared" si="0"/>
        <v>moderado-TIJOLO</v>
      </c>
      <c r="B12" s="52" t="s">
        <v>32</v>
      </c>
      <c r="C12" s="53" t="s">
        <v>22</v>
      </c>
      <c r="D12" s="59">
        <v>0.4</v>
      </c>
    </row>
    <row r="13" spans="1:8" x14ac:dyDescent="0.25">
      <c r="A13" s="52" t="str">
        <f t="shared" si="0"/>
        <v>moderado-HIBRIDOS</v>
      </c>
      <c r="B13" s="52" t="s">
        <v>32</v>
      </c>
      <c r="C13" s="53" t="s">
        <v>23</v>
      </c>
      <c r="D13" s="59">
        <v>0.08</v>
      </c>
    </row>
    <row r="14" spans="1:8" x14ac:dyDescent="0.25">
      <c r="A14" s="52" t="str">
        <f t="shared" si="0"/>
        <v>moderado-FOF'S</v>
      </c>
      <c r="B14" s="52" t="s">
        <v>32</v>
      </c>
      <c r="C14" s="53" t="s">
        <v>24</v>
      </c>
      <c r="D14" s="59">
        <v>0.1</v>
      </c>
    </row>
    <row r="15" spans="1:8" x14ac:dyDescent="0.25">
      <c r="A15" s="52" t="str">
        <f t="shared" si="0"/>
        <v>moderado-DESENVOLVIMENTO</v>
      </c>
      <c r="B15" s="52" t="s">
        <v>32</v>
      </c>
      <c r="C15" s="53" t="s">
        <v>25</v>
      </c>
      <c r="D15" s="59">
        <v>0.05</v>
      </c>
    </row>
    <row r="16" spans="1:8" ht="15.75" thickBot="1" x14ac:dyDescent="0.3">
      <c r="A16" s="54" t="str">
        <f t="shared" si="0"/>
        <v>moderado-HOTELARIAS</v>
      </c>
      <c r="B16" s="54" t="s">
        <v>32</v>
      </c>
      <c r="C16" s="55" t="s">
        <v>26</v>
      </c>
      <c r="D16" s="60">
        <v>0.05</v>
      </c>
    </row>
    <row r="17" spans="1:4" x14ac:dyDescent="0.25">
      <c r="A17" t="str">
        <f t="shared" si="0"/>
        <v>agressivo-PAPEL</v>
      </c>
      <c r="B17" t="s">
        <v>16</v>
      </c>
      <c r="C17" s="41" t="s">
        <v>21</v>
      </c>
      <c r="D17" s="42">
        <v>0.4</v>
      </c>
    </row>
    <row r="18" spans="1:4" x14ac:dyDescent="0.25">
      <c r="A18" t="str">
        <f t="shared" si="0"/>
        <v>agressivo-TIJOLO</v>
      </c>
      <c r="B18" t="s">
        <v>16</v>
      </c>
      <c r="C18" s="41" t="s">
        <v>22</v>
      </c>
      <c r="D18" s="42">
        <v>0.2</v>
      </c>
    </row>
    <row r="19" spans="1:4" x14ac:dyDescent="0.25">
      <c r="A19" t="str">
        <f t="shared" si="0"/>
        <v>agressivo-HIBRIDOS</v>
      </c>
      <c r="B19" t="s">
        <v>16</v>
      </c>
      <c r="C19" s="41" t="s">
        <v>23</v>
      </c>
      <c r="D19" s="42">
        <v>0.1</v>
      </c>
    </row>
    <row r="20" spans="1:4" x14ac:dyDescent="0.25">
      <c r="A20" t="str">
        <f t="shared" si="0"/>
        <v>agressivo-FOF'S</v>
      </c>
      <c r="B20" t="s">
        <v>16</v>
      </c>
      <c r="C20" s="41" t="s">
        <v>24</v>
      </c>
      <c r="D20" s="42">
        <v>0.08</v>
      </c>
    </row>
    <row r="21" spans="1:4" x14ac:dyDescent="0.25">
      <c r="A21" t="str">
        <f t="shared" si="0"/>
        <v>agressivo-DESENVOLVIMENTO</v>
      </c>
      <c r="B21" t="s">
        <v>16</v>
      </c>
      <c r="C21" s="41" t="s">
        <v>25</v>
      </c>
      <c r="D21" s="42">
        <v>0.1</v>
      </c>
    </row>
    <row r="22" spans="1:4" x14ac:dyDescent="0.25">
      <c r="A22" t="str">
        <f t="shared" si="0"/>
        <v>agressivo-HOTELARIAS</v>
      </c>
      <c r="B22" t="s">
        <v>16</v>
      </c>
      <c r="C22" s="41" t="s">
        <v>26</v>
      </c>
      <c r="D22" s="42">
        <v>0.12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Hadja R</dc:creator>
  <cp:lastModifiedBy>Hadja R</cp:lastModifiedBy>
  <dcterms:created xsi:type="dcterms:W3CDTF">2026-01-17T16:48:10Z</dcterms:created>
  <dcterms:modified xsi:type="dcterms:W3CDTF">2026-01-17T21:03:54Z</dcterms:modified>
</cp:coreProperties>
</file>